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Sheet1" sheetId="1" state="visible" r:id="rId2"/>
    <sheet name="Sheet2" sheetId="2" state="visible" r:id="rId3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<sst xmlns="http://schemas.openxmlformats.org/spreadsheetml/2006/main" count="32" uniqueCount="25">
  <si>
    <t xml:space="preserve">Temperature uncertainties</t>
  </si>
  <si>
    <t xml:space="preserve">2*std Monte Carlo horizontal differences</t>
  </si>
  <si>
    <t xml:space="preserve">Variables</t>
  </si>
  <si>
    <t xml:space="preserve">Value typical in not extreme day</t>
  </si>
  <si>
    <t xml:space="preserve">T (K)</t>
  </si>
  <si>
    <t xml:space="preserve">T in another location B (K)</t>
  </si>
  <si>
    <t xml:space="preserve">T uncert. MC profile gradient (K)</t>
  </si>
  <si>
    <t xml:space="preserve">distance x (km)</t>
  </si>
  <si>
    <t xml:space="preserve">deltaT/deltax (K/km)</t>
  </si>
  <si>
    <t xml:space="preserve">uncert deltaT/deltax (K/km)</t>
  </si>
  <si>
    <t xml:space="preserve">velocity adjust (km/hr)</t>
  </si>
  <si>
    <t xml:space="preserve">uncert velocity adjust (km/hr)</t>
  </si>
  <si>
    <t xml:space="preserve">Advection (K/hr)</t>
  </si>
  <si>
    <t xml:space="preserve">uncert Advection Monte Carlo (K/hr)</t>
  </si>
  <si>
    <t xml:space="preserve">percentage of Uncert Advection Monte Carlo (%)</t>
  </si>
  <si>
    <t xml:space="preserve">humidity uncertainties</t>
  </si>
  <si>
    <t xml:space="preserve">uncert abs humidity horizontal difference (g/m^3)</t>
  </si>
  <si>
    <t xml:space="preserve">rho air (g/m^3)</t>
  </si>
  <si>
    <t xml:space="preserve">uncert q specific hum horizontal difference (g/kg)</t>
  </si>
  <si>
    <t xml:space="preserve">q (g/kg)</t>
  </si>
  <si>
    <t xml:space="preserve">q in other location B (g/kg)</t>
  </si>
  <si>
    <t xml:space="preserve">deltahum/deltax (g/kg/km)</t>
  </si>
  <si>
    <t xml:space="preserve">uncert deltaq/deltax (g/kg/km)</t>
  </si>
  <si>
    <t xml:space="preserve">Advection (g/kg/hr)</t>
  </si>
  <si>
    <t xml:space="preserve">uncert Advection Monte Carlo (g/kg/hr)</t>
  </si>
</sst>
</file>

<file path=xl/styles.xml><?xml version="1.0" encoding="utf-8"?>
<styleSheet xmlns="http://schemas.openxmlformats.org/spreadsheetml/2006/main">
  <numFmts count="1">
    <numFmt numFmtId="164" formatCode="General"/>
  </numFmts>
  <fonts count="7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20"/>
      <name val="Arial"/>
      <family val="2"/>
      <charset val="1"/>
    </font>
    <font>
      <b val="true"/>
      <sz val="16"/>
      <name val="Arial"/>
      <family val="2"/>
      <charset val="1"/>
    </font>
    <font>
      <b val="true"/>
      <sz val="10"/>
      <name val="Arial"/>
      <family val="2"/>
      <charset val="1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B15"/>
  <sheetViews>
    <sheetView showFormulas="false" showGridLines="true" showRowColHeaders="true" showZeros="true" rightToLeft="false" tabSelected="false" showOutlineSymbols="true" defaultGridColor="true" view="normal" topLeftCell="A1" colorId="64" zoomScale="110" zoomScaleNormal="110" zoomScalePageLayoutView="100" workbookViewId="0">
      <selection pane="topLeft" activeCell="B24" activeCellId="0" sqref="B24"/>
    </sheetView>
  </sheetViews>
  <sheetFormatPr defaultColWidth="11.5703125" defaultRowHeight="12.8" zeroHeight="false" outlineLevelRow="0" outlineLevelCol="0"/>
  <cols>
    <col collapsed="false" customWidth="true" hidden="false" outlineLevel="0" max="1" min="1" style="0" width="44.84"/>
    <col collapsed="false" customWidth="true" hidden="false" outlineLevel="0" max="2" min="2" style="0" width="58.35"/>
  </cols>
  <sheetData>
    <row r="1" customFormat="false" ht="24.45" hidden="false" customHeight="false" outlineLevel="0" collapsed="false">
      <c r="A1" s="1" t="s">
        <v>0</v>
      </c>
      <c r="B1" s="2" t="s">
        <v>1</v>
      </c>
    </row>
    <row r="2" customFormat="false" ht="12.8" hidden="false" customHeight="false" outlineLevel="0" collapsed="false">
      <c r="A2" s="3" t="s">
        <v>2</v>
      </c>
      <c r="B2" s="3" t="s">
        <v>3</v>
      </c>
    </row>
    <row r="3" customFormat="false" ht="12.8" hidden="false" customHeight="false" outlineLevel="0" collapsed="false">
      <c r="A3" s="3" t="s">
        <v>4</v>
      </c>
      <c r="B3" s="3" t="n">
        <v>305</v>
      </c>
    </row>
    <row r="4" customFormat="false" ht="12.8" hidden="false" customHeight="false" outlineLevel="0" collapsed="false">
      <c r="A4" s="3" t="s">
        <v>5</v>
      </c>
      <c r="B4" s="3" t="n">
        <v>305.3</v>
      </c>
    </row>
    <row r="5" customFormat="false" ht="12.8" hidden="false" customHeight="false" outlineLevel="0" collapsed="false">
      <c r="A5" s="4" t="s">
        <v>6</v>
      </c>
      <c r="B5" s="4" t="n">
        <v>0.4</v>
      </c>
    </row>
    <row r="6" customFormat="false" ht="12.8" hidden="false" customHeight="false" outlineLevel="0" collapsed="false">
      <c r="A6" s="3" t="s">
        <v>7</v>
      </c>
      <c r="B6" s="3" t="n">
        <v>3</v>
      </c>
    </row>
    <row r="7" customFormat="false" ht="12.8" hidden="false" customHeight="false" outlineLevel="0" collapsed="false">
      <c r="A7" s="3" t="s">
        <v>8</v>
      </c>
      <c r="B7" s="3" t="n">
        <f aca="false">ABS(B3-B4)/B6</f>
        <v>0.100000000000004</v>
      </c>
    </row>
    <row r="8" customFormat="false" ht="12.8" hidden="false" customHeight="false" outlineLevel="0" collapsed="false">
      <c r="A8" s="3" t="s">
        <v>9</v>
      </c>
      <c r="B8" s="3" t="n">
        <f aca="false">(B5/B6)</f>
        <v>0.133333333333333</v>
      </c>
    </row>
    <row r="9" customFormat="false" ht="12.8" hidden="false" customHeight="false" outlineLevel="0" collapsed="false">
      <c r="A9" s="3" t="s">
        <v>10</v>
      </c>
      <c r="B9" s="3" t="n">
        <f aca="false">3600*4/1000</f>
        <v>14.4</v>
      </c>
    </row>
    <row r="10" customFormat="false" ht="12.8" hidden="false" customHeight="false" outlineLevel="0" collapsed="false">
      <c r="A10" s="3" t="s">
        <v>11</v>
      </c>
      <c r="B10" s="3" t="n">
        <f aca="false">3600*1.5/1000</f>
        <v>5.4</v>
      </c>
    </row>
    <row r="11" customFormat="false" ht="12.8" hidden="false" customHeight="false" outlineLevel="0" collapsed="false">
      <c r="A11" s="4" t="s">
        <v>12</v>
      </c>
      <c r="B11" s="4" t="n">
        <f aca="false">B7*B9</f>
        <v>1.44000000000006</v>
      </c>
    </row>
    <row r="12" customFormat="false" ht="12.8" hidden="false" customHeight="false" outlineLevel="0" collapsed="false">
      <c r="A12" s="4" t="s">
        <v>13</v>
      </c>
      <c r="B12" s="4" t="n">
        <f aca="false">SQRT(B9^2*B8^2+B10^2*B7^2)</f>
        <v>1.99449241663136</v>
      </c>
    </row>
    <row r="13" customFormat="false" ht="12.8" hidden="false" customHeight="false" outlineLevel="0" collapsed="false">
      <c r="A13" s="4" t="s">
        <v>14</v>
      </c>
      <c r="B13" s="4" t="n">
        <f aca="false">100*B12/B11</f>
        <v>138.506417821617</v>
      </c>
    </row>
    <row r="14" customFormat="false" ht="12.8" hidden="false" customHeight="false" outlineLevel="0" collapsed="false">
      <c r="A14" s="3"/>
      <c r="B14" s="3"/>
    </row>
    <row r="15" customFormat="false" ht="12.8" hidden="false" customHeight="false" outlineLevel="0" collapsed="false">
      <c r="A15" s="3"/>
      <c r="B15" s="3"/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B15"/>
  <sheetViews>
    <sheetView showFormulas="false" showGridLines="true" showRowColHeaders="true" showZeros="true" rightToLeft="false" tabSelected="true" showOutlineSymbols="true" defaultGridColor="true" view="normal" topLeftCell="A1" colorId="64" zoomScale="110" zoomScaleNormal="110" zoomScalePageLayoutView="100" workbookViewId="0">
      <selection pane="topLeft" activeCell="A19" activeCellId="0" sqref="A19"/>
    </sheetView>
  </sheetViews>
  <sheetFormatPr defaultColWidth="11.5703125" defaultRowHeight="12.8" zeroHeight="false" outlineLevelRow="0" outlineLevelCol="0"/>
  <cols>
    <col collapsed="false" customWidth="true" hidden="false" outlineLevel="0" max="1" min="1" style="0" width="45.59"/>
    <col collapsed="false" customWidth="true" hidden="false" outlineLevel="0" max="2" min="2" style="0" width="57.85"/>
  </cols>
  <sheetData>
    <row r="1" customFormat="false" ht="24.45" hidden="false" customHeight="false" outlineLevel="0" collapsed="false">
      <c r="A1" s="1" t="s">
        <v>15</v>
      </c>
      <c r="B1" s="2" t="s">
        <v>1</v>
      </c>
    </row>
    <row r="2" customFormat="false" ht="12.8" hidden="false" customHeight="false" outlineLevel="0" collapsed="false">
      <c r="A2" s="3" t="s">
        <v>2</v>
      </c>
      <c r="B2" s="3" t="s">
        <v>3</v>
      </c>
    </row>
    <row r="3" customFormat="false" ht="12.8" hidden="false" customHeight="false" outlineLevel="0" collapsed="false">
      <c r="A3" s="4" t="s">
        <v>16</v>
      </c>
      <c r="B3" s="4" t="n">
        <v>0.18</v>
      </c>
    </row>
    <row r="4" customFormat="false" ht="12.8" hidden="false" customHeight="false" outlineLevel="0" collapsed="false">
      <c r="A4" s="0" t="s">
        <v>17</v>
      </c>
      <c r="B4" s="0" t="n">
        <f aca="false">1.159</f>
        <v>1.159</v>
      </c>
    </row>
    <row r="5" customFormat="false" ht="12.8" hidden="false" customHeight="false" outlineLevel="0" collapsed="false">
      <c r="A5" s="4" t="s">
        <v>18</v>
      </c>
      <c r="B5" s="4" t="n">
        <f aca="false">(B3/B4)*(1/(1+B3/B4))</f>
        <v>0.134428678117998</v>
      </c>
    </row>
    <row r="6" customFormat="false" ht="12.8" hidden="false" customHeight="false" outlineLevel="0" collapsed="false">
      <c r="A6" s="3" t="s">
        <v>19</v>
      </c>
      <c r="B6" s="3" t="n">
        <v>1</v>
      </c>
    </row>
    <row r="7" customFormat="false" ht="12.8" hidden="false" customHeight="false" outlineLevel="0" collapsed="false">
      <c r="A7" s="3" t="s">
        <v>20</v>
      </c>
      <c r="B7" s="3" t="n">
        <v>1.3</v>
      </c>
    </row>
    <row r="8" customFormat="false" ht="12.8" hidden="false" customHeight="false" outlineLevel="0" collapsed="false">
      <c r="A8" s="3" t="s">
        <v>7</v>
      </c>
      <c r="B8" s="3" t="n">
        <v>3</v>
      </c>
    </row>
    <row r="9" customFormat="false" ht="12.8" hidden="false" customHeight="false" outlineLevel="0" collapsed="false">
      <c r="A9" s="3" t="s">
        <v>21</v>
      </c>
      <c r="B9" s="3" t="n">
        <f aca="false">ABS(B6-B7)/B8</f>
        <v>0.1</v>
      </c>
    </row>
    <row r="10" customFormat="false" ht="12.8" hidden="false" customHeight="false" outlineLevel="0" collapsed="false">
      <c r="A10" s="3" t="s">
        <v>22</v>
      </c>
      <c r="B10" s="3" t="n">
        <f aca="false">(B5/B8)</f>
        <v>0.0448095593726662</v>
      </c>
    </row>
    <row r="11" customFormat="false" ht="12.8" hidden="false" customHeight="false" outlineLevel="0" collapsed="false">
      <c r="A11" s="3" t="s">
        <v>10</v>
      </c>
      <c r="B11" s="3" t="n">
        <f aca="false">3600*4/1000</f>
        <v>14.4</v>
      </c>
    </row>
    <row r="12" customFormat="false" ht="12.8" hidden="false" customHeight="false" outlineLevel="0" collapsed="false">
      <c r="A12" s="3" t="s">
        <v>11</v>
      </c>
      <c r="B12" s="3" t="n">
        <f aca="false">3600*1.5/1000</f>
        <v>5.4</v>
      </c>
    </row>
    <row r="13" customFormat="false" ht="12.8" hidden="false" customHeight="false" outlineLevel="0" collapsed="false">
      <c r="A13" s="4" t="s">
        <v>23</v>
      </c>
      <c r="B13" s="4" t="n">
        <f aca="false">B9*B11</f>
        <v>1.44</v>
      </c>
    </row>
    <row r="14" customFormat="false" ht="12.8" hidden="false" customHeight="false" outlineLevel="0" collapsed="false">
      <c r="A14" s="4" t="s">
        <v>24</v>
      </c>
      <c r="B14" s="4" t="n">
        <f aca="false">SQRT(B11^2*B10^2+B12^2*B9^2)</f>
        <v>0.841402068747593</v>
      </c>
    </row>
    <row r="15" customFormat="false" ht="12.8" hidden="false" customHeight="false" outlineLevel="0" collapsed="false">
      <c r="A15" s="4" t="s">
        <v>14</v>
      </c>
      <c r="B15" s="4" t="n">
        <f aca="false">100*B14/B13</f>
        <v>58.4306992185828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115</TotalTime>
  <Application>LibreOffice/7.3.7.2$Linux_X86_64 LibreOffice_project/30$Build-2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2025-07-25T16:31:10Z</dcterms:created>
  <dc:creator/>
  <dc:description/>
  <dc:language>en-US</dc:language>
  <cp:lastModifiedBy/>
  <dcterms:modified xsi:type="dcterms:W3CDTF">2025-12-17T16:00:17Z</dcterms:modified>
  <cp:revision>4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